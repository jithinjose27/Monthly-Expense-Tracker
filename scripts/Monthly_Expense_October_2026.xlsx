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ctober 202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<sst xmlns="http://schemas.openxmlformats.org/spreadsheetml/2006/main" count="98" uniqueCount="74">
  <si>
    <t xml:space="preserve">MONTHLY PERSONAL EXPENSE TRACKER - OCTOBER 2026</t>
  </si>
  <si>
    <t xml:space="preserve">Track daily food expenses (Chicken, Eggs, Bananas) and monthly budget</t>
  </si>
  <si>
    <t xml:space="preserve">Currency: Indian Rupees (₹)</t>
  </si>
  <si>
    <t xml:space="preserve">Date</t>
  </si>
  <si>
    <t xml:space="preserve">Day</t>
  </si>
  <si>
    <t xml:space="preserve">Chicken (₹)</t>
  </si>
  <si>
    <t xml:space="preserve">Eggs (₹)</t>
  </si>
  <si>
    <t xml:space="preserve">Bananas (₹)</t>
  </si>
  <si>
    <t xml:space="preserve">Other Food (₹)</t>
  </si>
  <si>
    <t xml:space="preserve">Other Expenses (₹)</t>
  </si>
  <si>
    <t xml:space="preserve">Daily Total (₹)</t>
  </si>
  <si>
    <t xml:space="preserve">Notes</t>
  </si>
  <si>
    <t xml:space="preserve">SUMMARY METRIC</t>
  </si>
  <si>
    <t xml:space="preserve">AMOUNT (₹)</t>
  </si>
  <si>
    <t xml:space="preserve">01 Oct 2026</t>
  </si>
  <si>
    <t xml:space="preserve">Thursday</t>
  </si>
  <si>
    <t xml:space="preserve">Monthly Budget</t>
  </si>
  <si>
    <t xml:space="preserve">02 Oct 2026</t>
  </si>
  <si>
    <t xml:space="preserve">Friday</t>
  </si>
  <si>
    <t xml:space="preserve">Total Monthly Expense</t>
  </si>
  <si>
    <t xml:space="preserve">03 Oct 2026</t>
  </si>
  <si>
    <t xml:space="preserve">Saturday</t>
  </si>
  <si>
    <t xml:space="preserve">Chicken 200g, 14 eggs</t>
  </si>
  <si>
    <t xml:space="preserve">Remaining Budget</t>
  </si>
  <si>
    <t xml:space="preserve">04 Oct 2026</t>
  </si>
  <si>
    <t xml:space="preserve">Sunday</t>
  </si>
  <si>
    <t xml:space="preserve">Chicken 300g (bone)</t>
  </si>
  <si>
    <t xml:space="preserve">Average Daily Expense</t>
  </si>
  <si>
    <t xml:space="preserve">05 Oct 2026</t>
  </si>
  <si>
    <t xml:space="preserve">Monday</t>
  </si>
  <si>
    <t xml:space="preserve">Chicken 200g, 14 eggs, bananas</t>
  </si>
  <si>
    <t xml:space="preserve">Highest Spending Day</t>
  </si>
  <si>
    <t xml:space="preserve">06 Oct 2026</t>
  </si>
  <si>
    <t xml:space="preserve">Tuesday</t>
  </si>
  <si>
    <t xml:space="preserve">Chicken 200g, Bank deduction</t>
  </si>
  <si>
    <t xml:space="preserve">Total Chicken</t>
  </si>
  <si>
    <t xml:space="preserve">07 Oct 2026</t>
  </si>
  <si>
    <t xml:space="preserve">Wednesday</t>
  </si>
  <si>
    <t xml:space="preserve">Chicken 200g, 10 eggs, Cello Tape</t>
  </si>
  <si>
    <t xml:space="preserve">Total Eggs</t>
  </si>
  <si>
    <t xml:space="preserve">08 Oct 2026</t>
  </si>
  <si>
    <t xml:space="preserve">Chicken 200g, Chat, Trimmer</t>
  </si>
  <si>
    <t xml:space="preserve">Total Bananas</t>
  </si>
  <si>
    <t xml:space="preserve">09 Oct 2026</t>
  </si>
  <si>
    <t xml:space="preserve">Chicken 200g, 21 eggs, Curd+Dates, Chia seed</t>
  </si>
  <si>
    <t xml:space="preserve">Total Other Food</t>
  </si>
  <si>
    <t xml:space="preserve">10 Oct 2026</t>
  </si>
  <si>
    <t xml:space="preserve">Burger, Recharge(9th) + Petrol</t>
  </si>
  <si>
    <t xml:space="preserve">Total Other Expenses</t>
  </si>
  <si>
    <t xml:space="preserve">11 Oct 2026</t>
  </si>
  <si>
    <t xml:space="preserve">Chicken 200g, 12 eggs, bananas</t>
  </si>
  <si>
    <t xml:space="preserve">12 Oct 2026</t>
  </si>
  <si>
    <t xml:space="preserve">Chicken 200g, Soap</t>
  </si>
  <si>
    <t xml:space="preserve">13 Oct 2026</t>
  </si>
  <si>
    <t xml:space="preserve">Chicken 200g, 9 eggs, bananas, trip</t>
  </si>
  <si>
    <t xml:space="preserve">14 Oct 2026</t>
  </si>
  <si>
    <t xml:space="preserve">15 Oct 2026</t>
  </si>
  <si>
    <t xml:space="preserve">16 Oct 2026</t>
  </si>
  <si>
    <t xml:space="preserve">17 Oct 2026</t>
  </si>
  <si>
    <t xml:space="preserve">18 Oct 2026</t>
  </si>
  <si>
    <t xml:space="preserve">19 Oct 2026</t>
  </si>
  <si>
    <t xml:space="preserve">20 Oct 2026</t>
  </si>
  <si>
    <t xml:space="preserve">21 Oct 2026</t>
  </si>
  <si>
    <t xml:space="preserve">22 Oct 2026</t>
  </si>
  <si>
    <t xml:space="preserve">23 Oct 2026</t>
  </si>
  <si>
    <t xml:space="preserve">24 Oct 2026</t>
  </si>
  <si>
    <t xml:space="preserve">25 Oct 2026</t>
  </si>
  <si>
    <t xml:space="preserve">26 Oct 2026</t>
  </si>
  <si>
    <t xml:space="preserve">27 Oct 2026</t>
  </si>
  <si>
    <t xml:space="preserve">28 Oct 2026</t>
  </si>
  <si>
    <t xml:space="preserve">29 Oct 2026</t>
  </si>
  <si>
    <t xml:space="preserve">30 Oct 2026</t>
  </si>
  <si>
    <t xml:space="preserve">31 Oct 2026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</si>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</sst>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.00;&quot;(₹&quot;#,##0.00\);\-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8A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10"/>
      <color rgb="FF1E293B"/>
      <name val="Segoe UI"/>
      <family val="0"/>
      <charset val="1"/>
    </font>
    <font>
      <i val="true"/>
      <sz val="9"/>
      <color rgb="FF64748B"/>
      <name val="Segoe UI"/>
      <family val="0"/>
      <charset val="1"/>
    </font>
    <font>
      <b val="true"/>
      <sz val="11"/>
      <color rgb="FF0F172A"/>
      <name val="Segoe 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8FAFC"/>
        <bgColor rgb="FFFFFFFF"/>
      </patternFill>
    </fill>
    <fill>
      <patternFill patternType="solid">
        <fgColor rgb="FFFFD8CE"/>
        <bgColor rgb="FFE2E8F0"/>
      </patternFill>
    </fill>
    <fill>
      <patternFill patternType="solid">
        <fgColor rgb="FFE2E8F0"/>
        <bgColor rgb="FFDCFCE7"/>
      </patternFill>
    </fill>
    <fill>
      <patternFill patternType="solid">
        <fgColor rgb="FFDCFCE7"/>
        <bgColor rgb="FFCC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0F172A"/>
      </top>
      <bottom style="double">
        <color rgb="FF0F17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993300"/>
      <rgbColor rgb="FF993366"/>
      <rgbColor rgb="FF1E3A8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J23" activeCellId="0" sqref="J23"/>
    </sheetView>
  </sheetViews>
  <sheetFormatPr defaultColWidth="8.73046875" defaultRowHeight="12.8" zeroHeight="false" outlineLevelRow="0" outlineLevelCol="0"/>
  <cols>
    <col collapsed="false" customWidth="true" hidden="false" outlineLevel="0" max="1" min="1" style="1" width="14.38"/>
    <col collapsed="false" customWidth="true" hidden="false" outlineLevel="0" max="2" min="2" style="1" width="13.35"/>
    <col collapsed="false" customWidth="true" hidden="false" outlineLevel="0" max="3" min="3" style="1" width="14.38"/>
    <col collapsed="false" customWidth="true" hidden="false" outlineLevel="0" max="4" min="4" style="1" width="12.32"/>
    <col collapsed="false" customWidth="true" hidden="false" outlineLevel="0" max="5" min="5" style="1" width="13.35"/>
    <col collapsed="false" customWidth="true" hidden="false" outlineLevel="0" max="6" min="6" style="1" width="15.39"/>
    <col collapsed="false" customWidth="true" hidden="false" outlineLevel="0" max="7" min="7" style="1" width="18.49"/>
    <col collapsed="false" customWidth="true" hidden="false" outlineLevel="0" max="8" min="8" style="1" width="16.43"/>
    <col collapsed="false" customWidth="true" hidden="false" outlineLevel="0" max="9" min="9" style="1" width="40.62"/>
    <col collapsed="false" customWidth="true" hidden="false" outlineLevel="0" max="10" min="10" style="1" width="4.11"/>
    <col collapsed="false" customWidth="true" hidden="false" outlineLevel="0" max="11" min="11" style="1" width="22.61"/>
    <col collapsed="false" customWidth="true" hidden="false" outlineLevel="0" max="12" min="12" style="1" width="16.43"/>
  </cols>
  <sheetData>
    <row r="1" customFormat="false" ht="2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K2" s="4" t="s">
        <v>2</v>
      </c>
    </row>
    <row r="4" customFormat="false" ht="26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K4" s="5" t="s">
        <v>12</v>
      </c>
      <c r="L4" s="5" t="s">
        <v>13</v>
      </c>
    </row>
    <row r="5" customFormat="false" ht="13.8" hidden="false" customHeight="false" outlineLevel="0" collapsed="false">
      <c r="A5" s="6" t="s">
        <v>14</v>
      </c>
      <c r="B5" s="6" t="s">
        <v>15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8" t="n">
        <f aca="false">SUM(C5:G5)</f>
        <v>0</v>
      </c>
      <c r="I5" s="6"/>
      <c r="K5" s="9" t="s">
        <v>16</v>
      </c>
      <c r="L5" s="10" t="n">
        <v>12510</v>
      </c>
    </row>
    <row r="6" customFormat="false" ht="13.8" hidden="false" customHeight="false" outlineLevel="0" collapsed="false">
      <c r="A6" s="6" t="s">
        <v>17</v>
      </c>
      <c r="B6" s="6" t="s">
        <v>18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8" t="n">
        <f aca="false">SUM(C6:G6)</f>
        <v>0</v>
      </c>
      <c r="I6" s="6"/>
      <c r="K6" s="9" t="s">
        <v>19</v>
      </c>
      <c r="L6" s="10" t="n">
        <f aca="false">H36</f>
        <v>4373</v>
      </c>
    </row>
    <row r="7" customFormat="false" ht="13.8" hidden="false" customHeight="false" outlineLevel="0" collapsed="false">
      <c r="A7" s="6" t="s">
        <v>20</v>
      </c>
      <c r="B7" s="6" t="s">
        <v>21</v>
      </c>
      <c r="C7" s="7" t="n">
        <v>82</v>
      </c>
      <c r="D7" s="7" t="n">
        <v>98</v>
      </c>
      <c r="E7" s="7" t="n">
        <v>0</v>
      </c>
      <c r="F7" s="7" t="n">
        <v>0</v>
      </c>
      <c r="G7" s="7" t="n">
        <v>0</v>
      </c>
      <c r="H7" s="8" t="n">
        <f aca="false">SUM(C7:G7)</f>
        <v>180</v>
      </c>
      <c r="I7" s="6" t="s">
        <v>22</v>
      </c>
      <c r="K7" s="9" t="s">
        <v>23</v>
      </c>
      <c r="L7" s="11" t="n">
        <f aca="false">L5-L6</f>
        <v>8137</v>
      </c>
    </row>
    <row r="8" customFormat="false" ht="13.8" hidden="false" customHeight="false" outlineLevel="0" collapsed="false">
      <c r="A8" s="6" t="s">
        <v>24</v>
      </c>
      <c r="B8" s="6" t="s">
        <v>25</v>
      </c>
      <c r="C8" s="7" t="n">
        <v>102</v>
      </c>
      <c r="D8" s="7" t="n">
        <v>0</v>
      </c>
      <c r="E8" s="7" t="n">
        <v>0</v>
      </c>
      <c r="F8" s="7" t="n">
        <v>0</v>
      </c>
      <c r="G8" s="7" t="n">
        <v>0</v>
      </c>
      <c r="H8" s="8" t="n">
        <f aca="false">SUM(C8:G8)</f>
        <v>102</v>
      </c>
      <c r="I8" s="6" t="s">
        <v>26</v>
      </c>
      <c r="K8" s="9" t="s">
        <v>27</v>
      </c>
      <c r="L8" s="10" t="n">
        <f aca="false">AVERAGE(H5:H35)</f>
        <v>141.064516129032</v>
      </c>
    </row>
    <row r="9" customFormat="false" ht="13.8" hidden="false" customHeight="false" outlineLevel="0" collapsed="false">
      <c r="A9" s="6" t="s">
        <v>28</v>
      </c>
      <c r="B9" s="6" t="s">
        <v>29</v>
      </c>
      <c r="C9" s="7" t="n">
        <v>82</v>
      </c>
      <c r="D9" s="7" t="n">
        <v>98</v>
      </c>
      <c r="E9" s="7" t="n">
        <v>56</v>
      </c>
      <c r="F9" s="7" t="n">
        <v>0</v>
      </c>
      <c r="G9" s="7" t="n">
        <v>0</v>
      </c>
      <c r="H9" s="8" t="n">
        <f aca="false">SUM(C9:G9)</f>
        <v>236</v>
      </c>
      <c r="I9" s="6" t="s">
        <v>30</v>
      </c>
      <c r="K9" s="9" t="s">
        <v>31</v>
      </c>
      <c r="L9" s="10" t="n">
        <f aca="false">MAX(H5:H35)</f>
        <v>1206</v>
      </c>
    </row>
    <row r="10" customFormat="false" ht="13.8" hidden="false" customHeight="false" outlineLevel="0" collapsed="false">
      <c r="A10" s="6" t="s">
        <v>32</v>
      </c>
      <c r="B10" s="6" t="s">
        <v>33</v>
      </c>
      <c r="C10" s="7" t="n">
        <v>82</v>
      </c>
      <c r="D10" s="7" t="n">
        <v>0</v>
      </c>
      <c r="E10" s="7" t="n">
        <v>0</v>
      </c>
      <c r="F10" s="7" t="n">
        <v>0</v>
      </c>
      <c r="G10" s="7" t="n">
        <v>50</v>
      </c>
      <c r="H10" s="8" t="n">
        <f aca="false">SUM(C10:G10)</f>
        <v>132</v>
      </c>
      <c r="I10" s="6" t="s">
        <v>34</v>
      </c>
      <c r="K10" s="9" t="s">
        <v>35</v>
      </c>
      <c r="L10" s="10" t="n">
        <f aca="false">C36</f>
        <v>840</v>
      </c>
    </row>
    <row r="11" customFormat="false" ht="13.8" hidden="false" customHeight="false" outlineLevel="0" collapsed="false">
      <c r="A11" s="6" t="s">
        <v>36</v>
      </c>
      <c r="B11" s="6" t="s">
        <v>37</v>
      </c>
      <c r="C11" s="7" t="n">
        <v>82</v>
      </c>
      <c r="D11" s="7" t="n">
        <v>0</v>
      </c>
      <c r="E11" s="7" t="n">
        <v>0</v>
      </c>
      <c r="F11" s="7" t="n">
        <v>0</v>
      </c>
      <c r="G11" s="7" t="n">
        <v>14</v>
      </c>
      <c r="H11" s="8" t="n">
        <f aca="false">SUM(C11:G11)</f>
        <v>96</v>
      </c>
      <c r="I11" s="6" t="s">
        <v>38</v>
      </c>
      <c r="K11" s="9" t="s">
        <v>39</v>
      </c>
      <c r="L11" s="10" t="n">
        <f aca="false">D36</f>
        <v>490</v>
      </c>
    </row>
    <row r="12" customFormat="false" ht="13.8" hidden="false" customHeight="false" outlineLevel="0" collapsed="false">
      <c r="A12" s="6" t="s">
        <v>40</v>
      </c>
      <c r="B12" s="6" t="s">
        <v>15</v>
      </c>
      <c r="C12" s="7" t="n">
        <v>82</v>
      </c>
      <c r="D12" s="7"/>
      <c r="E12" s="7" t="n">
        <v>0</v>
      </c>
      <c r="F12" s="7" t="n">
        <v>120</v>
      </c>
      <c r="G12" s="7" t="n">
        <v>1004</v>
      </c>
      <c r="H12" s="8" t="n">
        <f aca="false">SUM(C12:G12)</f>
        <v>1206</v>
      </c>
      <c r="I12" s="6" t="s">
        <v>41</v>
      </c>
      <c r="K12" s="9" t="s">
        <v>42</v>
      </c>
      <c r="L12" s="10" t="n">
        <f aca="false">E36</f>
        <v>104</v>
      </c>
    </row>
    <row r="13" customFormat="false" ht="13.8" hidden="false" customHeight="false" outlineLevel="0" collapsed="false">
      <c r="A13" s="6" t="s">
        <v>43</v>
      </c>
      <c r="B13" s="6" t="s">
        <v>18</v>
      </c>
      <c r="C13" s="7" t="n">
        <v>82</v>
      </c>
      <c r="D13" s="7" t="n">
        <v>147</v>
      </c>
      <c r="E13" s="7" t="n">
        <v>0</v>
      </c>
      <c r="F13" s="7" t="n">
        <v>271</v>
      </c>
      <c r="G13" s="7" t="n">
        <v>264</v>
      </c>
      <c r="H13" s="8" t="n">
        <f aca="false">SUM(C13:G13)</f>
        <v>764</v>
      </c>
      <c r="I13" s="6" t="s">
        <v>44</v>
      </c>
      <c r="K13" s="9" t="s">
        <v>45</v>
      </c>
      <c r="L13" s="10" t="n">
        <f aca="false">F36</f>
        <v>999</v>
      </c>
    </row>
    <row r="14" customFormat="false" ht="13.8" hidden="false" customHeight="false" outlineLevel="0" collapsed="false">
      <c r="A14" s="6" t="s">
        <v>46</v>
      </c>
      <c r="B14" s="6" t="s">
        <v>21</v>
      </c>
      <c r="C14" s="7" t="n">
        <v>0</v>
      </c>
      <c r="D14" s="7"/>
      <c r="E14" s="7" t="n">
        <v>0</v>
      </c>
      <c r="F14" s="7" t="n">
        <v>608</v>
      </c>
      <c r="G14" s="7" t="n">
        <v>409</v>
      </c>
      <c r="H14" s="8" t="n">
        <f aca="false">SUM(C14:G14)</f>
        <v>1017</v>
      </c>
      <c r="I14" s="6" t="s">
        <v>47</v>
      </c>
      <c r="K14" s="9" t="s">
        <v>48</v>
      </c>
      <c r="L14" s="10" t="n">
        <f aca="false">G36</f>
        <v>1940</v>
      </c>
    </row>
    <row r="15" customFormat="false" ht="12.8" hidden="false" customHeight="false" outlineLevel="0" collapsed="false">
      <c r="A15" s="6" t="s">
        <v>49</v>
      </c>
      <c r="B15" s="6" t="s">
        <v>25</v>
      </c>
      <c r="C15" s="7" t="n">
        <v>82</v>
      </c>
      <c r="D15" s="7" t="n">
        <v>84</v>
      </c>
      <c r="E15" s="7" t="n">
        <v>28</v>
      </c>
      <c r="F15" s="7" t="n">
        <v>0</v>
      </c>
      <c r="G15" s="7" t="n">
        <v>0</v>
      </c>
      <c r="H15" s="8" t="n">
        <f aca="false">SUM(C15:G15)</f>
        <v>194</v>
      </c>
      <c r="I15" s="6" t="s">
        <v>50</v>
      </c>
      <c r="K15" s="12"/>
      <c r="L15" s="12"/>
    </row>
    <row r="16" customFormat="false" ht="12.8" hidden="false" customHeight="false" outlineLevel="0" collapsed="false">
      <c r="A16" s="6" t="s">
        <v>51</v>
      </c>
      <c r="B16" s="6" t="s">
        <v>29</v>
      </c>
      <c r="C16" s="7" t="n">
        <v>82</v>
      </c>
      <c r="D16" s="7" t="n">
        <v>0</v>
      </c>
      <c r="E16" s="7" t="n">
        <v>0</v>
      </c>
      <c r="F16" s="7" t="n">
        <v>0</v>
      </c>
      <c r="G16" s="7" t="n">
        <v>104</v>
      </c>
      <c r="H16" s="8" t="n">
        <f aca="false">SUM(C16:G16)</f>
        <v>186</v>
      </c>
      <c r="I16" s="6" t="s">
        <v>52</v>
      </c>
      <c r="K16" s="12"/>
      <c r="L16" s="12"/>
    </row>
    <row r="17" customFormat="false" ht="12.8" hidden="false" customHeight="false" outlineLevel="0" collapsed="false">
      <c r="A17" s="6" t="s">
        <v>53</v>
      </c>
      <c r="B17" s="6" t="s">
        <v>33</v>
      </c>
      <c r="C17" s="7" t="n">
        <v>82</v>
      </c>
      <c r="D17" s="7" t="n">
        <v>63</v>
      </c>
      <c r="E17" s="7" t="n">
        <v>20</v>
      </c>
      <c r="F17" s="7" t="n">
        <v>0</v>
      </c>
      <c r="G17" s="7" t="n">
        <v>95</v>
      </c>
      <c r="H17" s="8" t="n">
        <f aca="false">SUM(C17:G17)</f>
        <v>260</v>
      </c>
      <c r="I17" s="6" t="s">
        <v>54</v>
      </c>
      <c r="K17" s="12"/>
      <c r="L17" s="12"/>
    </row>
    <row r="18" customFormat="false" ht="12.8" hidden="false" customHeight="false" outlineLevel="0" collapsed="false">
      <c r="A18" s="6" t="s">
        <v>55</v>
      </c>
      <c r="B18" s="6" t="s">
        <v>37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8" t="n">
        <f aca="false">SUM(C18:G18)</f>
        <v>0</v>
      </c>
      <c r="I18" s="6"/>
      <c r="K18" s="12"/>
      <c r="L18" s="12"/>
    </row>
    <row r="19" customFormat="false" ht="12.8" hidden="false" customHeight="false" outlineLevel="0" collapsed="false">
      <c r="A19" s="6" t="s">
        <v>56</v>
      </c>
      <c r="B19" s="6" t="s">
        <v>15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8" t="n">
        <f aca="false">SUM(C19:G19)</f>
        <v>0</v>
      </c>
      <c r="I19" s="6"/>
      <c r="K19" s="12"/>
      <c r="L19" s="12"/>
    </row>
    <row r="20" customFormat="false" ht="12.8" hidden="false" customHeight="false" outlineLevel="0" collapsed="false">
      <c r="A20" s="6" t="s">
        <v>57</v>
      </c>
      <c r="B20" s="6" t="s">
        <v>18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8" t="n">
        <f aca="false">SUM(C20:G20)</f>
        <v>0</v>
      </c>
      <c r="I20" s="6"/>
      <c r="K20" s="12"/>
      <c r="L20" s="12"/>
    </row>
    <row r="21" customFormat="false" ht="12.8" hidden="false" customHeight="false" outlineLevel="0" collapsed="false">
      <c r="A21" s="6" t="s">
        <v>58</v>
      </c>
      <c r="B21" s="6" t="s">
        <v>21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8" t="n">
        <f aca="false">SUM(C21:G21)</f>
        <v>0</v>
      </c>
      <c r="I21" s="6"/>
      <c r="K21" s="12"/>
      <c r="L21" s="12"/>
    </row>
    <row r="22" customFormat="false" ht="12.8" hidden="false" customHeight="false" outlineLevel="0" collapsed="false">
      <c r="A22" s="6" t="s">
        <v>59</v>
      </c>
      <c r="B22" s="6" t="s">
        <v>25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8" t="n">
        <f aca="false">SUM(C22:G22)</f>
        <v>0</v>
      </c>
      <c r="I22" s="6"/>
      <c r="K22" s="12"/>
      <c r="L22" s="12"/>
    </row>
    <row r="23" customFormat="false" ht="12.8" hidden="false" customHeight="false" outlineLevel="0" collapsed="false">
      <c r="A23" s="6" t="s">
        <v>60</v>
      </c>
      <c r="B23" s="6" t="s">
        <v>29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8" t="n">
        <f aca="false">SUM(C23:G23)</f>
        <v>0</v>
      </c>
      <c r="I23" s="6"/>
      <c r="K23" s="12"/>
      <c r="L23" s="12"/>
    </row>
    <row r="24" customFormat="false" ht="12.8" hidden="false" customHeight="false" outlineLevel="0" collapsed="false">
      <c r="A24" s="6" t="s">
        <v>61</v>
      </c>
      <c r="B24" s="6" t="s">
        <v>33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8" t="n">
        <f aca="false">SUM(C24:G24)</f>
        <v>0</v>
      </c>
      <c r="I24" s="6"/>
      <c r="K24" s="12"/>
      <c r="L24" s="12"/>
    </row>
    <row r="25" customFormat="false" ht="12.8" hidden="false" customHeight="false" outlineLevel="0" collapsed="false">
      <c r="A25" s="6" t="s">
        <v>62</v>
      </c>
      <c r="B25" s="6" t="s">
        <v>37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8" t="n">
        <f aca="false">SUM(C25:G25)</f>
        <v>0</v>
      </c>
      <c r="I25" s="6"/>
      <c r="K25" s="12"/>
      <c r="L25" s="12"/>
    </row>
    <row r="26" customFormat="false" ht="12.8" hidden="false" customHeight="false" outlineLevel="0" collapsed="false">
      <c r="A26" s="6" t="s">
        <v>63</v>
      </c>
      <c r="B26" s="6" t="s">
        <v>15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8" t="n">
        <f aca="false">SUM(C26:G26)</f>
        <v>0</v>
      </c>
      <c r="I26" s="6"/>
      <c r="K26" s="12"/>
      <c r="L26" s="12"/>
    </row>
    <row r="27" customFormat="false" ht="12.8" hidden="false" customHeight="false" outlineLevel="0" collapsed="false">
      <c r="A27" s="6" t="s">
        <v>64</v>
      </c>
      <c r="B27" s="6" t="s">
        <v>18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8" t="n">
        <f aca="false">SUM(C27:G27)</f>
        <v>0</v>
      </c>
      <c r="I27" s="6"/>
      <c r="K27" s="12"/>
      <c r="L27" s="12"/>
    </row>
    <row r="28" customFormat="false" ht="12.8" hidden="false" customHeight="false" outlineLevel="0" collapsed="false">
      <c r="A28" s="6" t="s">
        <v>65</v>
      </c>
      <c r="B28" s="6" t="s">
        <v>21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8" t="n">
        <f aca="false">SUM(C28:G28)</f>
        <v>0</v>
      </c>
      <c r="I28" s="6"/>
      <c r="K28" s="12"/>
      <c r="L28" s="12"/>
    </row>
    <row r="29" customFormat="false" ht="12.8" hidden="false" customHeight="false" outlineLevel="0" collapsed="false">
      <c r="A29" s="6" t="s">
        <v>66</v>
      </c>
      <c r="B29" s="6" t="s">
        <v>25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8" t="n">
        <f aca="false">SUM(C29:G29)</f>
        <v>0</v>
      </c>
      <c r="I29" s="6"/>
      <c r="K29" s="12"/>
      <c r="L29" s="12"/>
    </row>
    <row r="30" customFormat="false" ht="12.8" hidden="false" customHeight="false" outlineLevel="0" collapsed="false">
      <c r="A30" s="6" t="s">
        <v>67</v>
      </c>
      <c r="B30" s="6" t="s">
        <v>29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8" t="n">
        <f aca="false">SUM(C30:G30)</f>
        <v>0</v>
      </c>
      <c r="I30" s="6"/>
      <c r="K30" s="12"/>
      <c r="L30" s="12"/>
    </row>
    <row r="31" customFormat="false" ht="12.8" hidden="false" customHeight="false" outlineLevel="0" collapsed="false">
      <c r="A31" s="6" t="s">
        <v>68</v>
      </c>
      <c r="B31" s="6" t="s">
        <v>33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8" t="n">
        <f aca="false">SUM(C31:G31)</f>
        <v>0</v>
      </c>
      <c r="I31" s="6"/>
      <c r="K31" s="12"/>
      <c r="L31" s="12"/>
    </row>
    <row r="32" customFormat="false" ht="12.8" hidden="false" customHeight="false" outlineLevel="0" collapsed="false">
      <c r="A32" s="6" t="s">
        <v>69</v>
      </c>
      <c r="B32" s="6" t="s">
        <v>37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8" t="n">
        <f aca="false">SUM(C32:G32)</f>
        <v>0</v>
      </c>
      <c r="I32" s="6"/>
      <c r="K32" s="12"/>
      <c r="L32" s="12"/>
    </row>
    <row r="33" customFormat="false" ht="12.8" hidden="false" customHeight="false" outlineLevel="0" collapsed="false">
      <c r="A33" s="6" t="s">
        <v>70</v>
      </c>
      <c r="B33" s="6" t="s">
        <v>15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8" t="n">
        <f aca="false">SUM(C33:G33)</f>
        <v>0</v>
      </c>
      <c r="I33" s="6"/>
      <c r="K33" s="12"/>
      <c r="L33" s="12"/>
    </row>
    <row r="34" customFormat="false" ht="12.8" hidden="false" customHeight="false" outlineLevel="0" collapsed="false">
      <c r="A34" s="6" t="s">
        <v>71</v>
      </c>
      <c r="B34" s="6" t="s">
        <v>18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8" t="n">
        <f aca="false">SUM(C34:G34)</f>
        <v>0</v>
      </c>
      <c r="I34" s="6"/>
      <c r="K34" s="12"/>
      <c r="L34" s="12"/>
    </row>
    <row r="35" customFormat="false" ht="12.8" hidden="false" customHeight="false" outlineLevel="0" collapsed="false">
      <c r="A35" s="6" t="s">
        <v>72</v>
      </c>
      <c r="B35" s="6" t="s">
        <v>21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8" t="n">
        <f aca="false">SUM(C35:G35)</f>
        <v>0</v>
      </c>
      <c r="I35" s="6"/>
      <c r="K35" s="12"/>
      <c r="L35" s="12"/>
    </row>
    <row r="36" customFormat="false" ht="24" hidden="false" customHeight="true" outlineLevel="0" collapsed="false">
      <c r="A36" s="13" t="s">
        <v>73</v>
      </c>
      <c r="B36" s="13"/>
      <c r="C36" s="14" t="n">
        <f aca="false">SUM(C5:C35)</f>
        <v>840</v>
      </c>
      <c r="D36" s="14" t="n">
        <f aca="false">SUM(D5:D35)</f>
        <v>490</v>
      </c>
      <c r="E36" s="14" t="n">
        <f aca="false">SUM(E5:E35)</f>
        <v>104</v>
      </c>
      <c r="F36" s="14" t="n">
        <f aca="false">SUM(F5:F35)</f>
        <v>999</v>
      </c>
      <c r="G36" s="14" t="n">
        <f aca="false">SUM(G5:G35)</f>
        <v>1940</v>
      </c>
      <c r="H36" s="15" t="n">
        <f aca="false">SUM(H5:H35)</f>
        <v>4373</v>
      </c>
      <c r="I36" s="13"/>
      <c r="K36" s="12"/>
      <c r="L36" s="12"/>
    </row>
  </sheetData>
  <mergeCells count="2">
    <mergeCell ref="A1:I1"/>
    <mergeCell ref="A2:I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2026-10-14T11:09:18Z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